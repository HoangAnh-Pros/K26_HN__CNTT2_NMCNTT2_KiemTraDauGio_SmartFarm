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<sst xmlns="http://schemas.openxmlformats.org/spreadsheetml/2006/main" count="48" uniqueCount="36">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</sst>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3" sqref="F3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B13" sqref="B13"/>
    </sheetView>
  </sheetViews>
  <sheetFormatPr defaultColWidth="9" defaultRowHeight="14.4" outlineLevelCol="5"/>
  <cols>
    <col min="1" max="4" width="24" customWidth="1"/>
    <col min="5" max="5" width="18" customWidth="1"/>
    <col min="6" max="6" width="20.6666666666667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t="str" cm="1">
        <f t="array" ref="E2:E11">TRIM(B2:B11)</f>
        <v>LK02</v>
      </c>
      <c r="F2" t="str">
        <f>VLOOKUP(E4,'danh-muc-linh-kien'!$A$2:$B$7,2,FALSE)</f>
        <v>Mini PC Fanless N100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v>LK01</v>
      </c>
      <c r="F3" t="str">
        <f>VLOOKUP(E3,'danh-muc-linh-kien'!$A$2:$B$7,2,FALSE)</f>
        <v>Raspberry Pi 4 Model B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v>LK05</v>
      </c>
      <c r="F4" t="str">
        <f>VLOOKUP(E4,'danh-muc-linh-kien'!$A$2:$B$7,2,FALSE)</f>
        <v>Mini PC Fanless N100</v>
      </c>
    </row>
    <row r="5" spans="1:6">
      <c r="A5" t="s">
        <v>27</v>
      </c>
      <c r="B5" t="s">
        <v>9</v>
      </c>
      <c r="C5">
        <v>8</v>
      </c>
      <c r="D5" s="2">
        <v>46121</v>
      </c>
      <c r="E5" t="str">
        <v>LK03</v>
      </c>
      <c r="F5" t="str">
        <f>VLOOKUP(E5,'danh-muc-linh-kien'!$A$2:$B$7,2,FALSE)</f>
        <v>Orange Pi 5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v>LK02</v>
      </c>
      <c r="F6" t="str">
        <f>VLOOKUP(E6,'danh-muc-linh-kien'!$A$2:$B$7,2,FALSE)</f>
        <v>Intel NUC i3</v>
      </c>
    </row>
    <row r="7" spans="1:6">
      <c r="A7" t="s">
        <v>30</v>
      </c>
      <c r="B7" t="s">
        <v>16</v>
      </c>
      <c r="C7">
        <v>4</v>
      </c>
      <c r="D7" s="2">
        <v>46147</v>
      </c>
      <c r="E7" t="str">
        <v>LK06</v>
      </c>
      <c r="F7" t="str">
        <f>VLOOKUP(E7,'danh-muc-linh-kien'!$A$2:$B$7,2,FALSE)</f>
        <v>Synology DS220j NAS</v>
      </c>
    </row>
    <row r="8" spans="1:6">
      <c r="A8" t="s">
        <v>31</v>
      </c>
      <c r="B8" t="s">
        <v>4</v>
      </c>
      <c r="C8">
        <v>4</v>
      </c>
      <c r="D8" s="2">
        <v>46160</v>
      </c>
      <c r="E8" t="str">
        <v>LK01</v>
      </c>
      <c r="F8" t="str">
        <f>VLOOKUP(E8,'danh-muc-linh-kien'!$A$2:$B$7,2,FALSE)</f>
        <v>Raspberry Pi 4 Model B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v>LK04</v>
      </c>
      <c r="F9" t="str">
        <f>VLOOKUP(E9,'danh-muc-linh-kien'!$A$2:$B$7,2,FALSE)</f>
        <v>Dell Optiplex Micro</v>
      </c>
    </row>
    <row r="10" spans="1:6">
      <c r="A10" t="s">
        <v>34</v>
      </c>
      <c r="B10" t="s">
        <v>9</v>
      </c>
      <c r="C10">
        <v>8</v>
      </c>
      <c r="D10" s="2">
        <v>46187</v>
      </c>
      <c r="E10" t="str">
        <v>LK03</v>
      </c>
      <c r="F10" t="str">
        <f>VLOOKUP(E10,'danh-muc-linh-kien'!$A$2:$B$7,2,FALSE)</f>
        <v>Orange Pi 5</v>
      </c>
    </row>
    <row r="11" spans="1:6">
      <c r="A11" t="s">
        <v>35</v>
      </c>
      <c r="B11" t="s">
        <v>14</v>
      </c>
      <c r="C11">
        <v>8</v>
      </c>
      <c r="D11" s="2">
        <v>46206</v>
      </c>
      <c r="E11" t="str">
        <v>LK05</v>
      </c>
      <c r="F11" t="str">
        <f>VLOOKUP(E11,'danh-muc-linh-kien'!$A$2:$B$7,2,FALSE)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WPS_1788103280</cp:lastModifiedBy>
  <dcterms:created xsi:type="dcterms:W3CDTF">2026-10-13T00:17:00Z</dcterms:created>
  <dcterms:modified xsi:type="dcterms:W3CDTF">2026-10-27T05:04:19Z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644F2B3BEF27463A92A450F458F6B911_12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